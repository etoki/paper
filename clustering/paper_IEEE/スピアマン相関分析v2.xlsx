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all_p" sheetId="2" r:id="rId6"/>
    <sheet state="visible" name="相関_スピアマン" sheetId="3" r:id="rId7"/>
    <sheet state="visible" name="p" sheetId="4" r:id="rId8"/>
    <sheet state="visible" name="p_2" sheetId="5" r:id="rId9"/>
    <sheet state="visible" name="ci_upper" sheetId="6" r:id="rId10"/>
    <sheet state="visible" name="ci_lower" sheetId="7" r:id="rId11"/>
  </sheets>
  <definedNames/>
  <calcPr/>
</workbook>
</file>

<file path=xl/sharedStrings.xml><?xml version="1.0" encoding="utf-8"?>
<sst xmlns="http://schemas.openxmlformats.org/spreadsheetml/2006/main" count="102" uniqueCount="15">
  <si>
    <t>INTER-TRAIT CORRELATIONS (HEXACO DOMAINS)</t>
  </si>
  <si>
    <t>Domains</t>
  </si>
  <si>
    <t>HH</t>
  </si>
  <si>
    <t>EM</t>
  </si>
  <si>
    <t>EX</t>
  </si>
  <si>
    <t>AG</t>
  </si>
  <si>
    <t>CO</t>
  </si>
  <si>
    <t>OE</t>
  </si>
  <si>
    <t>Note. Values represent Spearman correlations with 95% confidence intervals shown in brackets.
HH = Honesty–Humility; EM = Emotionality; EX = Extraversion;
AG = Agreeableness; CO = Conscientiousness; OE = Openness to Experience.
**p &lt; .01; *p &lt; .05.</t>
  </si>
  <si>
    <t>Honesty-Humility</t>
  </si>
  <si>
    <t>Emotionality</t>
  </si>
  <si>
    <t>Extraversion</t>
  </si>
  <si>
    <t>Agreeableness</t>
  </si>
  <si>
    <t>Conscientiousness</t>
  </si>
  <si>
    <t>Openness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</si>
</sst>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8.0"/>
      <color theme="1"/>
      <name val="Times New Roman"/>
    </font>
    <font>
      <sz val="8.0"/>
      <color theme="1"/>
      <name val="Times New Roman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2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2" numFmtId="2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3" numFmtId="0" xfId="0" applyFont="1"/>
    <xf borderId="0" fillId="0" fontId="3" numFmtId="11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.38"/>
    <col customWidth="1" min="3" max="8" width="8.38"/>
  </cols>
  <sheetData>
    <row r="3">
      <c r="B3" s="1" t="s">
        <v>0</v>
      </c>
    </row>
    <row r="4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2" t="s">
        <v>7</v>
      </c>
    </row>
    <row r="5">
      <c r="B5" s="4" t="s">
        <v>2</v>
      </c>
      <c r="C5" s="5">
        <v>1.0</v>
      </c>
      <c r="D5" s="6" t="str">
        <f>'相関_スピアマン'!J2&amp;p!J2</f>
        <v/>
      </c>
      <c r="E5" s="6" t="str">
        <f>'相関_スピアマン'!K2&amp;p!K2</f>
        <v/>
      </c>
      <c r="F5" s="6" t="str">
        <f>'相関_スピアマン'!L2&amp;p!L2</f>
        <v/>
      </c>
      <c r="G5" s="6" t="str">
        <f>'相関_スピアマン'!M2&amp;p!M2</f>
        <v/>
      </c>
      <c r="H5" s="6" t="str">
        <f>'相関_スピアマン'!N2&amp;p!N2</f>
        <v/>
      </c>
    </row>
    <row r="6">
      <c r="B6" s="4" t="s">
        <v>3</v>
      </c>
      <c r="C6" s="6" t="str">
        <f>'相関_スピアマン'!I3&amp;p!I3&amp;"
["&amp;ci_lower!I3&amp;", "&amp;ci_upper!I3&amp;"]"</f>
        <v>.04**
[.024, .058]</v>
      </c>
      <c r="D6" s="5">
        <v>1.0</v>
      </c>
      <c r="E6" s="6" t="str">
        <f>'相関_スピアマン'!K3&amp;p!K3</f>
        <v/>
      </c>
      <c r="F6" s="6" t="str">
        <f>'相関_スピアマン'!L3&amp;p!L3</f>
        <v/>
      </c>
      <c r="G6" s="6" t="str">
        <f>'相関_スピアマン'!M3&amp;p!M3</f>
        <v/>
      </c>
      <c r="H6" s="6" t="str">
        <f>'相関_スピアマン'!N3&amp;p!N3</f>
        <v/>
      </c>
    </row>
    <row r="7">
      <c r="B7" s="4" t="s">
        <v>4</v>
      </c>
      <c r="C7" s="6" t="str">
        <f>'相関_スピアマン'!I4&amp;p!I4&amp;"
["&amp;ci_lower!I4&amp;", "&amp;ci_upper!I4&amp;"]"</f>
        <v>-.23**
[-.247, -.214]</v>
      </c>
      <c r="D7" s="6" t="str">
        <f>'相関_スピアマン'!J4&amp;p!J4&amp;"
["&amp;ci_lower!J4&amp;", "&amp;ci_upper!J4&amp;"]"</f>
        <v>-0.2**
[-.217, -.184]</v>
      </c>
      <c r="E7" s="5">
        <v>1.0</v>
      </c>
      <c r="F7" s="6" t="str">
        <f>'相関_スピアマン'!L4&amp;p!L4</f>
        <v/>
      </c>
      <c r="G7" s="6" t="str">
        <f>'相関_スピアマン'!M4&amp;p!M4</f>
        <v/>
      </c>
      <c r="H7" s="6" t="str">
        <f>'相関_スピアマン'!N4&amp;p!N4</f>
        <v/>
      </c>
    </row>
    <row r="8">
      <c r="B8" s="4" t="s">
        <v>5</v>
      </c>
      <c r="C8" s="6" t="str">
        <f>'相関_スピアマン'!I5&amp;p!I5&amp;"
["&amp;ci_lower!I5&amp;", "&amp;ci_upper!I5&amp;"]"</f>
        <v>.18**
[.162, .194]</v>
      </c>
      <c r="D8" s="6" t="str">
        <f>'相関_スピアマン'!J5&amp;p!J5&amp;"
["&amp;ci_lower!J5&amp;", "&amp;ci_upper!J5&amp;"]"</f>
        <v>0.1**
[.088, .122]</v>
      </c>
      <c r="E8" s="6" t="str">
        <f>'相関_スピアマン'!K5&amp;p!K5&amp;"
["&amp;ci_lower!K5&amp;", "&amp;ci_upper!K5&amp;"]"</f>
        <v>.04**
[.024, .058]</v>
      </c>
      <c r="F8" s="5">
        <v>1.0</v>
      </c>
      <c r="G8" s="6" t="str">
        <f>'相関_スピアマン'!M5&amp;p!M5</f>
        <v/>
      </c>
      <c r="H8" s="6" t="str">
        <f>'相関_スピアマン'!N5&amp;p!N5</f>
        <v/>
      </c>
    </row>
    <row r="9">
      <c r="B9" s="4" t="s">
        <v>6</v>
      </c>
      <c r="C9" s="6" t="str">
        <f>'相関_スピアマン'!I6&amp;p!I6&amp;"
["&amp;ci_lower!I6&amp;", "&amp;ci_upper!I6&amp;"]"</f>
        <v>.18**
[.167, 0.2]</v>
      </c>
      <c r="D9" s="6" t="str">
        <f>'相関_スピアマン'!J6&amp;p!J6&amp;"
["&amp;ci_lower!J6&amp;", "&amp;ci_upper!J6&amp;"]"</f>
        <v>.11**
[.092, .125]</v>
      </c>
      <c r="E9" s="6" t="str">
        <f>'相関_スピアマン'!K6&amp;p!K6&amp;"
["&amp;ci_lower!K6&amp;", "&amp;ci_upper!K6&amp;"]"</f>
        <v>-.04**
[-.062, -.027]</v>
      </c>
      <c r="F9" s="6" t="str">
        <f>'相関_スピアマン'!L6&amp;p!L6&amp;"
["&amp;ci_lower!L6&amp;", "&amp;ci_upper!L6&amp;"]"</f>
        <v>-.05**
[-.071, -.037]</v>
      </c>
      <c r="G9" s="5">
        <v>1.0</v>
      </c>
      <c r="H9" s="6" t="str">
        <f>'相関_スピアマン'!N6&amp;p!N6</f>
        <v/>
      </c>
    </row>
    <row r="10">
      <c r="B10" s="7" t="s">
        <v>7</v>
      </c>
      <c r="C10" s="8" t="str">
        <f>'相関_スピアマン'!I7&amp;p!I7&amp;"
["&amp;ci_lower!I7&amp;", "&amp;ci_upper!I7&amp;"]"</f>
        <v>.06**
[.041, .075]</v>
      </c>
      <c r="D10" s="8" t="str">
        <f>'相関_スピアマン'!J7&amp;p!J7&amp;"
["&amp;ci_lower!J7&amp;", "&amp;ci_upper!J7&amp;"]"</f>
        <v>.02**
[.007, .042]</v>
      </c>
      <c r="E10" s="8" t="str">
        <f>'相関_スピアマン'!K7&amp;p!K7&amp;"
["&amp;ci_lower!K7&amp;", "&amp;ci_upper!K7&amp;"]"</f>
        <v>.09**
[.069, .103]</v>
      </c>
      <c r="F10" s="8" t="str">
        <f>'相関_スピアマン'!L7&amp;p!L7&amp;"
["&amp;ci_lower!L7&amp;", "&amp;ci_upper!L7&amp;"]"</f>
        <v>.07**
[.055, .089]</v>
      </c>
      <c r="G10" s="8" t="str">
        <f>'相関_スピアマン'!M7&amp;p!M7&amp;"
["&amp;ci_lower!M7&amp;", "&amp;ci_upper!M7&amp;"]"</f>
        <v>.18**
[.159, .191]</v>
      </c>
      <c r="H10" s="9">
        <v>1.0</v>
      </c>
    </row>
    <row r="11">
      <c r="B11" s="10" t="s">
        <v>8</v>
      </c>
      <c r="C11" s="11"/>
      <c r="D11" s="11"/>
      <c r="E11" s="11"/>
      <c r="F11" s="11"/>
      <c r="G11" s="11"/>
      <c r="H11" s="11"/>
    </row>
    <row r="12">
      <c r="B12" s="12"/>
    </row>
    <row r="13">
      <c r="B13" s="12"/>
    </row>
    <row r="14">
      <c r="B14" s="12"/>
    </row>
  </sheetData>
  <mergeCells count="1">
    <mergeCell ref="B3:H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.38"/>
    <col customWidth="1" min="3" max="8" width="8.38"/>
  </cols>
  <sheetData>
    <row r="3">
      <c r="B3" s="1" t="s">
        <v>0</v>
      </c>
    </row>
    <row r="4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2" t="s">
        <v>7</v>
      </c>
    </row>
    <row r="5">
      <c r="B5" s="4" t="s">
        <v>2</v>
      </c>
      <c r="C5" s="5">
        <v>1.0</v>
      </c>
      <c r="D5" s="6" t="str">
        <f>'相関_スピアマン'!J2&amp;p!J2</f>
        <v/>
      </c>
      <c r="E5" s="6" t="str">
        <f>'相関_スピアマン'!K2&amp;p!K2</f>
        <v/>
      </c>
      <c r="F5" s="6" t="str">
        <f>'相関_スピアマン'!L2&amp;p!L2</f>
        <v/>
      </c>
      <c r="G5" s="6" t="str">
        <f>'相関_スピアマン'!M2&amp;p!M2</f>
        <v/>
      </c>
      <c r="H5" s="6" t="str">
        <f>'相関_スピアマン'!N2&amp;p!N2</f>
        <v/>
      </c>
    </row>
    <row r="6">
      <c r="B6" s="4" t="s">
        <v>3</v>
      </c>
      <c r="C6" s="6" t="str">
        <f>'相関_スピアマン'!I3&amp;p!I3&amp;"
["&amp;ci_lower!I3&amp;", "&amp;ci_upper!I3&amp;"]"</f>
        <v>.04**
[.024, .058]</v>
      </c>
      <c r="D6" s="5">
        <v>1.0</v>
      </c>
      <c r="E6" s="6" t="str">
        <f>'相関_スピアマン'!K3&amp;p!K3</f>
        <v/>
      </c>
      <c r="F6" s="6" t="str">
        <f>'相関_スピアマン'!L3&amp;p!L3</f>
        <v/>
      </c>
      <c r="G6" s="6" t="str">
        <f>'相関_スピアマン'!M3&amp;p!M3</f>
        <v/>
      </c>
      <c r="H6" s="6" t="str">
        <f>'相関_スピアマン'!N3&amp;p!N3</f>
        <v/>
      </c>
    </row>
    <row r="7">
      <c r="B7" s="4" t="s">
        <v>4</v>
      </c>
      <c r="C7" s="6" t="str">
        <f>'相関_スピアマン'!I4&amp;p!I4&amp;"
["&amp;ci_lower!I4&amp;", "&amp;ci_upper!I4&amp;"]"</f>
        <v>-.23**
[-.247, -.214]</v>
      </c>
      <c r="D7" s="6" t="str">
        <f>'相関_スピアマン'!J4&amp;p!J4&amp;"
["&amp;ci_lower!J4&amp;", "&amp;ci_upper!J4&amp;"]"</f>
        <v>-0.2**
[-.217, -.184]</v>
      </c>
      <c r="E7" s="5">
        <v>1.0</v>
      </c>
      <c r="F7" s="6" t="str">
        <f>'相関_スピアマン'!L4&amp;p!L4</f>
        <v/>
      </c>
      <c r="G7" s="6" t="str">
        <f>'相関_スピアマン'!M4&amp;p!M4</f>
        <v/>
      </c>
      <c r="H7" s="6" t="str">
        <f>'相関_スピアマン'!N4&amp;p!N4</f>
        <v/>
      </c>
    </row>
    <row r="8">
      <c r="B8" s="4" t="s">
        <v>5</v>
      </c>
      <c r="C8" s="6" t="str">
        <f>'相関_スピアマン'!I5&amp;p!I5&amp;"
["&amp;ci_lower!I5&amp;", "&amp;ci_upper!I5&amp;"]"</f>
        <v>.18**
[.162, .194]</v>
      </c>
      <c r="D8" s="6" t="str">
        <f>'相関_スピアマン'!J5&amp;p!J5&amp;"
["&amp;ci_lower!J5&amp;", "&amp;ci_upper!J5&amp;"]"</f>
        <v>0.1**
[.088, .122]</v>
      </c>
      <c r="E8" s="6" t="str">
        <f>'相関_スピアマン'!K5&amp;p!K5&amp;"
["&amp;ci_lower!K5&amp;", "&amp;ci_upper!K5&amp;"]"</f>
        <v>.04**
[.024, .058]</v>
      </c>
      <c r="F8" s="5">
        <v>1.0</v>
      </c>
      <c r="G8" s="6" t="str">
        <f>'相関_スピアマン'!M5&amp;p!M5</f>
        <v/>
      </c>
      <c r="H8" s="6" t="str">
        <f>'相関_スピアマン'!N5&amp;p!N5</f>
        <v/>
      </c>
    </row>
    <row r="9">
      <c r="B9" s="4" t="s">
        <v>6</v>
      </c>
      <c r="C9" s="6" t="str">
        <f>'相関_スピアマン'!I6&amp;p!I6&amp;"
["&amp;ci_lower!I6&amp;", "&amp;ci_upper!I6&amp;"]"</f>
        <v>.18**
[.167, 0.2]</v>
      </c>
      <c r="D9" s="6" t="str">
        <f>'相関_スピアマン'!J6&amp;p!J6&amp;"
["&amp;ci_lower!J6&amp;", "&amp;ci_upper!J6&amp;"]"</f>
        <v>.11**
[.092, .125]</v>
      </c>
      <c r="E9" s="6" t="str">
        <f>'相関_スピアマン'!K6&amp;p!K6&amp;"
["&amp;ci_lower!K6&amp;", "&amp;ci_upper!K6&amp;"]"</f>
        <v>-.04**
[-.062, -.027]</v>
      </c>
      <c r="F9" s="6" t="str">
        <f>'相関_スピアマン'!L6&amp;p!L6&amp;"
["&amp;ci_lower!L6&amp;", "&amp;ci_upper!L6&amp;"]"</f>
        <v>-.05**
[-.071, -.037]</v>
      </c>
      <c r="G9" s="5">
        <v>1.0</v>
      </c>
      <c r="H9" s="6" t="str">
        <f>'相関_スピアマン'!N6&amp;p!N6</f>
        <v/>
      </c>
    </row>
    <row r="10">
      <c r="B10" s="7" t="s">
        <v>7</v>
      </c>
      <c r="C10" s="8" t="str">
        <f>'相関_スピアマン'!I7&amp;p!I7&amp;"
["&amp;ci_lower!I7&amp;", "&amp;ci_upper!I7&amp;"]"</f>
        <v>.06**
[.041, .075]</v>
      </c>
      <c r="D10" s="8" t="str">
        <f>'相関_スピアマン'!J7&amp;p!J7&amp;"
["&amp;ci_lower!J7&amp;", "&amp;ci_upper!J7&amp;"]"</f>
        <v>.02**
[.007, .042]</v>
      </c>
      <c r="E10" s="8" t="str">
        <f>'相関_スピアマン'!K7&amp;p!K7&amp;"
["&amp;ci_lower!K7&amp;", "&amp;ci_upper!K7&amp;"]"</f>
        <v>.09**
[.069, .103]</v>
      </c>
      <c r="F10" s="8" t="str">
        <f>'相関_スピアマン'!L7&amp;p!L7&amp;"
["&amp;ci_lower!L7&amp;", "&amp;ci_upper!L7&amp;"]"</f>
        <v>.07**
[.055, .089]</v>
      </c>
      <c r="G10" s="8" t="str">
        <f>'相関_スピアマン'!M7&amp;p!M7&amp;"
["&amp;ci_lower!M7&amp;", "&amp;ci_upper!M7&amp;"]"</f>
        <v>.18**
[.159, .191]</v>
      </c>
      <c r="H10" s="9">
        <v>1.0</v>
      </c>
    </row>
    <row r="11">
      <c r="B11" s="10" t="s">
        <v>8</v>
      </c>
      <c r="C11" s="11"/>
      <c r="D11" s="11"/>
      <c r="E11" s="11"/>
      <c r="F11" s="11"/>
      <c r="G11" s="11"/>
      <c r="H11" s="11"/>
    </row>
    <row r="12">
      <c r="B12" s="12"/>
    </row>
    <row r="13">
      <c r="B13" s="12"/>
    </row>
    <row r="14">
      <c r="B14" s="12"/>
    </row>
  </sheetData>
  <mergeCells count="1">
    <mergeCell ref="B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</row>
    <row r="2">
      <c r="A2" s="13" t="s">
        <v>9</v>
      </c>
      <c r="B2" s="13">
        <v>1.0</v>
      </c>
      <c r="C2" s="13">
        <v>0.04179606</v>
      </c>
      <c r="D2" s="13">
        <v>-0.231250154</v>
      </c>
      <c r="E2" s="13">
        <v>0.177909547</v>
      </c>
      <c r="F2" s="13">
        <v>0.183524704</v>
      </c>
      <c r="G2" s="13">
        <v>0.057725424</v>
      </c>
      <c r="I2" s="14">
        <f>ROUND(B2,2)</f>
        <v>1</v>
      </c>
    </row>
    <row r="3">
      <c r="A3" s="13" t="s">
        <v>10</v>
      </c>
      <c r="B3" s="13">
        <v>0.04179606</v>
      </c>
      <c r="C3" s="13">
        <v>1.0</v>
      </c>
      <c r="D3" s="13">
        <v>-0.200982783</v>
      </c>
      <c r="E3" s="13">
        <v>0.104341229</v>
      </c>
      <c r="F3" s="13">
        <v>0.108504509</v>
      </c>
      <c r="G3" s="13">
        <v>0.023965599</v>
      </c>
      <c r="I3" s="15" t="str">
        <f t="shared" ref="I3:I7" si="1">IF(B3&lt;0,"-","")&amp;right(ROUND(B3,2),3)</f>
        <v>.04</v>
      </c>
      <c r="J3" s="14">
        <f>ROUND(C3,2)</f>
        <v>1</v>
      </c>
    </row>
    <row r="4">
      <c r="A4" s="13" t="s">
        <v>11</v>
      </c>
      <c r="B4" s="13">
        <v>-0.231250154</v>
      </c>
      <c r="C4" s="13">
        <v>-0.200982783</v>
      </c>
      <c r="D4" s="13">
        <v>1.0</v>
      </c>
      <c r="E4" s="13">
        <v>0.040659074</v>
      </c>
      <c r="F4" s="13">
        <v>-0.044005257</v>
      </c>
      <c r="G4" s="13">
        <v>0.085799851</v>
      </c>
      <c r="I4" s="15" t="str">
        <f t="shared" si="1"/>
        <v>-.23</v>
      </c>
      <c r="J4" s="15" t="str">
        <f t="shared" ref="J4:J7" si="2">IF(C4&lt;0,"-","")&amp;right(ROUND(C4,2),3)</f>
        <v>-0.2</v>
      </c>
      <c r="K4" s="14">
        <f>ROUND(D4,2)</f>
        <v>1</v>
      </c>
    </row>
    <row r="5">
      <c r="A5" s="13" t="s">
        <v>12</v>
      </c>
      <c r="B5" s="13">
        <v>0.177909547</v>
      </c>
      <c r="C5" s="13">
        <v>0.104341229</v>
      </c>
      <c r="D5" s="13">
        <v>0.040659074</v>
      </c>
      <c r="E5" s="13">
        <v>1.0</v>
      </c>
      <c r="F5" s="13">
        <v>-0.054540503</v>
      </c>
      <c r="G5" s="13">
        <v>0.072206224</v>
      </c>
      <c r="I5" s="15" t="str">
        <f t="shared" si="1"/>
        <v>.18</v>
      </c>
      <c r="J5" s="15" t="str">
        <f t="shared" si="2"/>
        <v>0.1</v>
      </c>
      <c r="K5" s="15" t="str">
        <f t="shared" ref="K5:K7" si="3">IF(D5&lt;0,"-","")&amp;right(ROUND(D5,2),3)</f>
        <v>.04</v>
      </c>
      <c r="L5" s="14">
        <f>ROUND(E5,2)</f>
        <v>1</v>
      </c>
    </row>
    <row r="6">
      <c r="A6" s="13" t="s">
        <v>13</v>
      </c>
      <c r="B6" s="13">
        <v>0.183524704</v>
      </c>
      <c r="C6" s="13">
        <v>0.108504509</v>
      </c>
      <c r="D6" s="13">
        <v>-0.044005257</v>
      </c>
      <c r="E6" s="13">
        <v>-0.054540503</v>
      </c>
      <c r="F6" s="13">
        <v>1.0</v>
      </c>
      <c r="G6" s="13">
        <v>0.175012492</v>
      </c>
      <c r="I6" s="15" t="str">
        <f t="shared" si="1"/>
        <v>.18</v>
      </c>
      <c r="J6" s="15" t="str">
        <f t="shared" si="2"/>
        <v>.11</v>
      </c>
      <c r="K6" s="15" t="str">
        <f t="shared" si="3"/>
        <v>-.04</v>
      </c>
      <c r="L6" s="15" t="str">
        <f t="shared" ref="L6:L7" si="4">IF(E6&lt;0,"-","")&amp;right(ROUND(E6,2),3)</f>
        <v>-.05</v>
      </c>
      <c r="M6" s="14">
        <f>ROUND(F6,2)</f>
        <v>1</v>
      </c>
    </row>
    <row r="7">
      <c r="A7" s="13" t="s">
        <v>14</v>
      </c>
      <c r="B7" s="13">
        <v>0.057725424</v>
      </c>
      <c r="C7" s="13">
        <v>0.023965599</v>
      </c>
      <c r="D7" s="13">
        <v>0.085799851</v>
      </c>
      <c r="E7" s="13">
        <v>0.072206224</v>
      </c>
      <c r="F7" s="13">
        <v>0.175012492</v>
      </c>
      <c r="G7" s="13">
        <v>1.0</v>
      </c>
      <c r="I7" s="15" t="str">
        <f t="shared" si="1"/>
        <v>.06</v>
      </c>
      <c r="J7" s="15" t="str">
        <f t="shared" si="2"/>
        <v>.02</v>
      </c>
      <c r="K7" s="15" t="str">
        <f t="shared" si="3"/>
        <v>.09</v>
      </c>
      <c r="L7" s="15" t="str">
        <f t="shared" si="4"/>
        <v>.07</v>
      </c>
      <c r="M7" s="15" t="str">
        <f>IF(F7&lt;0,"-","")&amp;right(ROUND(F7,2),3)</f>
        <v>.18</v>
      </c>
      <c r="N7" s="14">
        <f>ROUND(G7,2)</f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</row>
    <row r="2">
      <c r="A2" s="13" t="s">
        <v>9</v>
      </c>
      <c r="B2" s="13">
        <v>0.0</v>
      </c>
      <c r="C2" s="16">
        <v>1.02E-6</v>
      </c>
      <c r="D2" s="16">
        <v>2.37E-165</v>
      </c>
      <c r="E2" s="16">
        <v>1.37E-97</v>
      </c>
      <c r="F2" s="16">
        <v>7.89E-104</v>
      </c>
      <c r="G2" s="16">
        <v>1.44E-11</v>
      </c>
      <c r="I2" s="17"/>
      <c r="J2" s="17"/>
      <c r="K2" s="17"/>
      <c r="L2" s="17"/>
      <c r="M2" s="17"/>
    </row>
    <row r="3">
      <c r="A3" s="13" t="s">
        <v>10</v>
      </c>
      <c r="B3" s="16">
        <v>1.02E-6</v>
      </c>
      <c r="C3" s="13">
        <v>0.0</v>
      </c>
      <c r="D3" s="16">
        <v>1.48E-124</v>
      </c>
      <c r="E3" s="16">
        <v>2.13E-34</v>
      </c>
      <c r="F3" s="16">
        <v>4.48E-37</v>
      </c>
      <c r="G3" s="13">
        <v>0.005079166</v>
      </c>
      <c r="I3" s="17" t="str">
        <f t="shared" ref="I3:I7" si="1">IF(B3="","",IF(B3&lt;0.01,"**",IF(B3&lt;0.05,"*","")))</f>
        <v>**</v>
      </c>
      <c r="J3" s="17"/>
      <c r="K3" s="17"/>
      <c r="L3" s="17"/>
      <c r="M3" s="17"/>
    </row>
    <row r="4">
      <c r="A4" s="13" t="s">
        <v>11</v>
      </c>
      <c r="B4" s="16">
        <v>2.37E-165</v>
      </c>
      <c r="C4" s="16">
        <v>1.48E-124</v>
      </c>
      <c r="D4" s="13">
        <v>0.0</v>
      </c>
      <c r="E4" s="16">
        <v>1.98E-6</v>
      </c>
      <c r="F4" s="16">
        <v>2.65E-7</v>
      </c>
      <c r="G4" s="16">
        <v>9.33E-24</v>
      </c>
      <c r="I4" s="17" t="str">
        <f t="shared" si="1"/>
        <v>**</v>
      </c>
      <c r="J4" s="17" t="str">
        <f t="shared" ref="J4:J7" si="2">IF(C4="","",IF(C4&lt;0.01,"**",IF(C4&lt;0.05,"*","")))</f>
        <v>**</v>
      </c>
      <c r="K4" s="17"/>
      <c r="L4" s="17"/>
      <c r="M4" s="17"/>
    </row>
    <row r="5">
      <c r="A5" s="13" t="s">
        <v>12</v>
      </c>
      <c r="B5" s="16">
        <v>1.37E-97</v>
      </c>
      <c r="C5" s="16">
        <v>2.13E-34</v>
      </c>
      <c r="D5" s="16">
        <v>1.98E-6</v>
      </c>
      <c r="E5" s="13">
        <v>0.0</v>
      </c>
      <c r="F5" s="16">
        <v>1.77E-10</v>
      </c>
      <c r="G5" s="16">
        <v>2.87E-17</v>
      </c>
      <c r="I5" s="17" t="str">
        <f t="shared" si="1"/>
        <v>**</v>
      </c>
      <c r="J5" s="17" t="str">
        <f t="shared" si="2"/>
        <v>**</v>
      </c>
      <c r="K5" s="17" t="str">
        <f t="shared" ref="K5:K7" si="3">IF(D5="","",IF(D5&lt;0.01,"**",IF(D5&lt;0.05,"*","")))</f>
        <v>**</v>
      </c>
      <c r="L5" s="17"/>
      <c r="M5" s="17"/>
    </row>
    <row r="6">
      <c r="A6" s="13" t="s">
        <v>13</v>
      </c>
      <c r="B6" s="16">
        <v>7.89E-104</v>
      </c>
      <c r="C6" s="16">
        <v>4.48E-37</v>
      </c>
      <c r="D6" s="16">
        <v>2.65E-7</v>
      </c>
      <c r="E6" s="16">
        <v>1.77E-10</v>
      </c>
      <c r="F6" s="13">
        <v>0.0</v>
      </c>
      <c r="G6" s="16">
        <v>1.88E-94</v>
      </c>
      <c r="I6" s="17" t="str">
        <f t="shared" si="1"/>
        <v>**</v>
      </c>
      <c r="J6" s="17" t="str">
        <f t="shared" si="2"/>
        <v>**</v>
      </c>
      <c r="K6" s="17" t="str">
        <f t="shared" si="3"/>
        <v>**</v>
      </c>
      <c r="L6" s="17" t="str">
        <f t="shared" ref="L6:L7" si="4">IF(E6="","",IF(E6&lt;0.01,"**",IF(E6&lt;0.05,"*","")))</f>
        <v>**</v>
      </c>
      <c r="M6" s="17"/>
    </row>
    <row r="7">
      <c r="A7" s="13" t="s">
        <v>14</v>
      </c>
      <c r="B7" s="16">
        <v>1.44E-11</v>
      </c>
      <c r="C7" s="13">
        <v>0.005079166</v>
      </c>
      <c r="D7" s="16">
        <v>9.33E-24</v>
      </c>
      <c r="E7" s="16">
        <v>2.87E-17</v>
      </c>
      <c r="F7" s="16">
        <v>1.88E-94</v>
      </c>
      <c r="G7" s="13">
        <v>0.0</v>
      </c>
      <c r="I7" s="17" t="str">
        <f t="shared" si="1"/>
        <v>**</v>
      </c>
      <c r="J7" s="17" t="str">
        <f t="shared" si="2"/>
        <v>**</v>
      </c>
      <c r="K7" s="17" t="str">
        <f t="shared" si="3"/>
        <v>**</v>
      </c>
      <c r="L7" s="17" t="str">
        <f t="shared" si="4"/>
        <v>**</v>
      </c>
      <c r="M7" s="17" t="str">
        <f>IF(F7="","",IF(F7&lt;0.01,"**",IF(F7&lt;0.05,"*","")))</f>
        <v>**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</row>
    <row r="2">
      <c r="A2" s="13" t="s">
        <v>9</v>
      </c>
      <c r="B2" s="13">
        <v>0.0</v>
      </c>
      <c r="C2" s="16">
        <v>1.02E-6</v>
      </c>
      <c r="D2" s="16">
        <v>2.37E-165</v>
      </c>
      <c r="E2" s="16">
        <v>1.37E-97</v>
      </c>
      <c r="F2" s="16">
        <v>7.89E-104</v>
      </c>
      <c r="G2" s="16">
        <v>1.44E-11</v>
      </c>
      <c r="I2" s="17"/>
      <c r="J2" s="17"/>
      <c r="K2" s="17"/>
      <c r="L2" s="17"/>
      <c r="M2" s="17"/>
    </row>
    <row r="3">
      <c r="A3" s="13" t="s">
        <v>10</v>
      </c>
      <c r="B3" s="16">
        <v>1.02E-6</v>
      </c>
      <c r="C3" s="13">
        <v>0.0</v>
      </c>
      <c r="D3" s="16">
        <v>1.48E-124</v>
      </c>
      <c r="E3" s="16">
        <v>2.13E-34</v>
      </c>
      <c r="F3" s="16">
        <v>4.48E-37</v>
      </c>
      <c r="G3" s="13">
        <v>0.005079166</v>
      </c>
      <c r="I3" s="17" t="str">
        <f t="shared" ref="I3:I7" si="1">IF(B3="","",IF(B3&lt;0.01,"p &lt; .001",IF(B3&lt;0.05,ROUND(B3,4),"")))</f>
        <v>p &lt; .001</v>
      </c>
      <c r="J3" s="17"/>
      <c r="K3" s="17"/>
      <c r="L3" s="17"/>
      <c r="M3" s="17"/>
    </row>
    <row r="4">
      <c r="A4" s="13" t="s">
        <v>11</v>
      </c>
      <c r="B4" s="16">
        <v>2.37E-165</v>
      </c>
      <c r="C4" s="16">
        <v>1.48E-124</v>
      </c>
      <c r="D4" s="13">
        <v>0.0</v>
      </c>
      <c r="E4" s="16">
        <v>1.98E-6</v>
      </c>
      <c r="F4" s="16">
        <v>2.65E-7</v>
      </c>
      <c r="G4" s="16">
        <v>9.33E-24</v>
      </c>
      <c r="I4" s="17" t="str">
        <f t="shared" si="1"/>
        <v>p &lt; .001</v>
      </c>
      <c r="J4" s="17" t="str">
        <f t="shared" ref="J4:J7" si="2">IF(C4="","",IF(C4&lt;0.01,"p &lt; .001",IF(C4&lt;0.05,ROUND(C4,4),"")))</f>
        <v>p &lt; .001</v>
      </c>
      <c r="K4" s="17"/>
      <c r="L4" s="17"/>
      <c r="M4" s="17"/>
    </row>
    <row r="5">
      <c r="A5" s="13" t="s">
        <v>12</v>
      </c>
      <c r="B5" s="16">
        <v>1.37E-97</v>
      </c>
      <c r="C5" s="16">
        <v>2.13E-34</v>
      </c>
      <c r="D5" s="16">
        <v>1.98E-6</v>
      </c>
      <c r="E5" s="13">
        <v>0.0</v>
      </c>
      <c r="F5" s="16">
        <v>1.77E-10</v>
      </c>
      <c r="G5" s="16">
        <v>2.87E-17</v>
      </c>
      <c r="I5" s="17" t="str">
        <f t="shared" si="1"/>
        <v>p &lt; .001</v>
      </c>
      <c r="J5" s="17" t="str">
        <f t="shared" si="2"/>
        <v>p &lt; .001</v>
      </c>
      <c r="K5" s="17" t="str">
        <f t="shared" ref="K5:K7" si="3">IF(D5="","",IF(D5&lt;0.01,"p &lt; .001",IF(D5&lt;0.05,ROUND(D5,4),"")))</f>
        <v>p &lt; .001</v>
      </c>
      <c r="L5" s="17"/>
      <c r="M5" s="17"/>
    </row>
    <row r="6">
      <c r="A6" s="13" t="s">
        <v>13</v>
      </c>
      <c r="B6" s="16">
        <v>7.89E-104</v>
      </c>
      <c r="C6" s="16">
        <v>4.48E-37</v>
      </c>
      <c r="D6" s="16">
        <v>2.65E-7</v>
      </c>
      <c r="E6" s="16">
        <v>1.77E-10</v>
      </c>
      <c r="F6" s="13">
        <v>0.0</v>
      </c>
      <c r="G6" s="16">
        <v>1.88E-94</v>
      </c>
      <c r="I6" s="17" t="str">
        <f t="shared" si="1"/>
        <v>p &lt; .001</v>
      </c>
      <c r="J6" s="17" t="str">
        <f t="shared" si="2"/>
        <v>p &lt; .001</v>
      </c>
      <c r="K6" s="17" t="str">
        <f t="shared" si="3"/>
        <v>p &lt; .001</v>
      </c>
      <c r="L6" s="17" t="str">
        <f t="shared" ref="L6:L7" si="4">IF(E6="","",IF(E6&lt;0.01,"p &lt; .001",IF(E6&lt;0.05,ROUND(E6,4),"")))</f>
        <v>p &lt; .001</v>
      </c>
      <c r="M6" s="17"/>
    </row>
    <row r="7">
      <c r="A7" s="13" t="s">
        <v>14</v>
      </c>
      <c r="B7" s="16">
        <v>1.44E-11</v>
      </c>
      <c r="C7" s="13">
        <v>0.005079166</v>
      </c>
      <c r="D7" s="16">
        <v>9.33E-24</v>
      </c>
      <c r="E7" s="16">
        <v>2.87E-17</v>
      </c>
      <c r="F7" s="16">
        <v>1.88E-94</v>
      </c>
      <c r="G7" s="13">
        <v>0.0</v>
      </c>
      <c r="I7" s="17" t="str">
        <f t="shared" si="1"/>
        <v>p &lt; .001</v>
      </c>
      <c r="J7" s="17" t="str">
        <f t="shared" si="2"/>
        <v>p &lt; .001</v>
      </c>
      <c r="K7" s="17" t="str">
        <f t="shared" si="3"/>
        <v>p &lt; .001</v>
      </c>
      <c r="L7" s="17" t="str">
        <f t="shared" si="4"/>
        <v>p &lt; .001</v>
      </c>
      <c r="M7" s="17" t="str">
        <f>IF(F7="","",IF(F7&lt;0.01,"p &lt; .001",IF(F7&lt;0.05,ROUND(F7,4),"")))</f>
        <v>p &lt; .001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</row>
    <row r="2">
      <c r="A2" s="13" t="s">
        <v>9</v>
      </c>
      <c r="C2" s="13">
        <v>0.058382648</v>
      </c>
      <c r="D2" s="13">
        <v>-0.214450765</v>
      </c>
      <c r="E2" s="13">
        <v>0.194410671</v>
      </c>
      <c r="F2" s="13">
        <v>0.199954532</v>
      </c>
      <c r="G2" s="13">
        <v>0.075361314</v>
      </c>
      <c r="I2" s="14"/>
    </row>
    <row r="3">
      <c r="A3" s="13" t="s">
        <v>10</v>
      </c>
      <c r="B3" s="13">
        <v>0.058382648</v>
      </c>
      <c r="D3" s="13">
        <v>-0.184194637</v>
      </c>
      <c r="E3" s="13">
        <v>0.122011471</v>
      </c>
      <c r="F3" s="13">
        <v>0.124848973</v>
      </c>
      <c r="G3" s="13">
        <v>0.041616983</v>
      </c>
      <c r="I3" s="15" t="str">
        <f t="shared" ref="I3:I7" si="1">IF(B3&lt;0,"-","")&amp;right(ROUND(B3,3),4)</f>
        <v>.058</v>
      </c>
    </row>
    <row r="4">
      <c r="A4" s="13" t="s">
        <v>11</v>
      </c>
      <c r="B4" s="13">
        <v>-0.214450765</v>
      </c>
      <c r="C4" s="13">
        <v>-0.184194637</v>
      </c>
      <c r="E4" s="13">
        <v>0.058089457</v>
      </c>
      <c r="F4" s="13">
        <v>-0.027324937</v>
      </c>
      <c r="G4" s="13">
        <v>0.102859924</v>
      </c>
      <c r="I4" s="15" t="str">
        <f t="shared" si="1"/>
        <v>-.214</v>
      </c>
      <c r="J4" s="15" t="str">
        <f t="shared" ref="J4:J7" si="2">IF(C4&lt;0,"-","")&amp;right(ROUND(C4,3),4)</f>
        <v>-.184</v>
      </c>
    </row>
    <row r="5">
      <c r="A5" s="13" t="s">
        <v>12</v>
      </c>
      <c r="B5" s="13">
        <v>0.194410671</v>
      </c>
      <c r="C5" s="13">
        <v>0.122011471</v>
      </c>
      <c r="D5" s="13">
        <v>0.058089457</v>
      </c>
      <c r="F5" s="13">
        <v>-0.037297752</v>
      </c>
      <c r="G5" s="13">
        <v>0.089213443</v>
      </c>
      <c r="I5" s="15" t="str">
        <f t="shared" si="1"/>
        <v>.194</v>
      </c>
      <c r="J5" s="15" t="str">
        <f t="shared" si="2"/>
        <v>.122</v>
      </c>
      <c r="K5" s="15" t="str">
        <f t="shared" ref="K5:K7" si="3">IF(D5&lt;0,"-","")&amp;right(ROUND(D5,3),4)</f>
        <v>.058</v>
      </c>
    </row>
    <row r="6">
      <c r="A6" s="13" t="s">
        <v>13</v>
      </c>
      <c r="B6" s="13">
        <v>0.199954532</v>
      </c>
      <c r="C6" s="13">
        <v>0.124848973</v>
      </c>
      <c r="D6" s="13">
        <v>-0.027324937</v>
      </c>
      <c r="E6" s="13">
        <v>-0.037297752</v>
      </c>
      <c r="G6" s="13">
        <v>0.191243928</v>
      </c>
      <c r="I6" s="15" t="str">
        <f t="shared" si="1"/>
        <v>0.2</v>
      </c>
      <c r="J6" s="15" t="str">
        <f t="shared" si="2"/>
        <v>.125</v>
      </c>
      <c r="K6" s="15" t="str">
        <f t="shared" si="3"/>
        <v>-.027</v>
      </c>
      <c r="L6" s="15" t="str">
        <f t="shared" ref="L6:L7" si="4">IF(E6&lt;0,"-","")&amp;right(ROUND(E6,3),4)</f>
        <v>-.037</v>
      </c>
    </row>
    <row r="7">
      <c r="A7" s="13" t="s">
        <v>14</v>
      </c>
      <c r="B7" s="13">
        <v>0.075361314</v>
      </c>
      <c r="C7" s="13">
        <v>0.041616983</v>
      </c>
      <c r="D7" s="13">
        <v>0.102859924</v>
      </c>
      <c r="E7" s="13">
        <v>0.089213443</v>
      </c>
      <c r="F7" s="13">
        <v>0.191243928</v>
      </c>
      <c r="I7" s="15" t="str">
        <f t="shared" si="1"/>
        <v>.075</v>
      </c>
      <c r="J7" s="15" t="str">
        <f t="shared" si="2"/>
        <v>.042</v>
      </c>
      <c r="K7" s="15" t="str">
        <f t="shared" si="3"/>
        <v>.103</v>
      </c>
      <c r="L7" s="15" t="str">
        <f t="shared" si="4"/>
        <v>.089</v>
      </c>
      <c r="M7" s="15" t="str">
        <f>IF(F7&lt;0,"-","")&amp;right(ROUND(F7,3),4)</f>
        <v>.191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</row>
    <row r="2">
      <c r="A2" s="13" t="s">
        <v>9</v>
      </c>
      <c r="C2" s="13">
        <v>0.024350909</v>
      </c>
      <c r="D2" s="13">
        <v>-0.247284357</v>
      </c>
      <c r="E2" s="13">
        <v>0.16173549</v>
      </c>
      <c r="F2" s="13">
        <v>0.16675557</v>
      </c>
      <c r="G2" s="13">
        <v>0.040919268</v>
      </c>
    </row>
    <row r="3">
      <c r="A3" s="13" t="s">
        <v>10</v>
      </c>
      <c r="B3" s="13">
        <v>0.024350909</v>
      </c>
      <c r="D3" s="13">
        <v>-0.216833815</v>
      </c>
      <c r="E3" s="13">
        <v>0.088176301</v>
      </c>
      <c r="F3" s="13">
        <v>0.091724635</v>
      </c>
      <c r="G3" s="13">
        <v>0.006987446</v>
      </c>
      <c r="I3" s="15" t="str">
        <f t="shared" ref="I3:I7" si="1">IF(B3&lt;0,"-","")&amp;right(ROUND(B3,3),4)</f>
        <v>.024</v>
      </c>
    </row>
    <row r="4">
      <c r="A4" s="13" t="s">
        <v>11</v>
      </c>
      <c r="B4" s="13">
        <v>-0.247284357</v>
      </c>
      <c r="C4" s="13">
        <v>-0.216833815</v>
      </c>
      <c r="E4" s="13">
        <v>0.02367177</v>
      </c>
      <c r="F4" s="13">
        <v>-0.06160322</v>
      </c>
      <c r="G4" s="13">
        <v>0.069020052</v>
      </c>
      <c r="I4" s="15" t="str">
        <f t="shared" si="1"/>
        <v>-.247</v>
      </c>
      <c r="J4" s="15" t="str">
        <f t="shared" ref="J4:J7" si="2">IF(C4&lt;0,"-","")&amp;right(ROUND(C4,3),4)</f>
        <v>-.217</v>
      </c>
    </row>
    <row r="5">
      <c r="A5" s="13" t="s">
        <v>12</v>
      </c>
      <c r="B5" s="13">
        <v>0.16173549</v>
      </c>
      <c r="C5" s="13">
        <v>0.088176301</v>
      </c>
      <c r="D5" s="13">
        <v>0.02367177</v>
      </c>
      <c r="F5" s="13">
        <v>-0.0714384</v>
      </c>
      <c r="G5" s="13">
        <v>0.05515735</v>
      </c>
      <c r="I5" s="15" t="str">
        <f t="shared" si="1"/>
        <v>.162</v>
      </c>
      <c r="J5" s="15" t="str">
        <f t="shared" si="2"/>
        <v>.088</v>
      </c>
      <c r="K5" s="15" t="str">
        <f t="shared" ref="K5:K7" si="3">IF(D5&lt;0,"-","")&amp;right(ROUND(D5,3),4)</f>
        <v>.024</v>
      </c>
    </row>
    <row r="6">
      <c r="A6" s="13" t="s">
        <v>13</v>
      </c>
      <c r="B6" s="13">
        <v>0.16675557</v>
      </c>
      <c r="C6" s="13">
        <v>0.091724635</v>
      </c>
      <c r="D6" s="13">
        <v>-0.06160322</v>
      </c>
      <c r="E6" s="13">
        <v>-0.0714384</v>
      </c>
      <c r="G6" s="13">
        <v>0.158713242</v>
      </c>
      <c r="I6" s="15" t="str">
        <f t="shared" si="1"/>
        <v>.167</v>
      </c>
      <c r="J6" s="15" t="str">
        <f t="shared" si="2"/>
        <v>.092</v>
      </c>
      <c r="K6" s="15" t="str">
        <f t="shared" si="3"/>
        <v>-.062</v>
      </c>
      <c r="L6" s="15" t="str">
        <f t="shared" ref="L6:L7" si="4">IF(E6&lt;0,"-","")&amp;right(ROUND(E6,3),4)</f>
        <v>-.071</v>
      </c>
    </row>
    <row r="7">
      <c r="A7" s="13" t="s">
        <v>14</v>
      </c>
      <c r="B7" s="13">
        <v>0.040919268</v>
      </c>
      <c r="C7" s="13">
        <v>0.006987446</v>
      </c>
      <c r="D7" s="13">
        <v>0.069020052</v>
      </c>
      <c r="E7" s="13">
        <v>0.05515735</v>
      </c>
      <c r="F7" s="13">
        <v>0.158713242</v>
      </c>
      <c r="I7" s="15" t="str">
        <f t="shared" si="1"/>
        <v>.041</v>
      </c>
      <c r="J7" s="15" t="str">
        <f t="shared" si="2"/>
        <v>.007</v>
      </c>
      <c r="K7" s="15" t="str">
        <f t="shared" si="3"/>
        <v>.069</v>
      </c>
      <c r="L7" s="15" t="str">
        <f t="shared" si="4"/>
        <v>.055</v>
      </c>
      <c r="M7" s="15" t="str">
        <f>IF(F7&lt;0,"-","")&amp;right(ROUND(F7,3),4)</f>
        <v>.159</v>
      </c>
    </row>
  </sheetData>
  <drawing r:id="rId1"/>
</worksheet>
</file>